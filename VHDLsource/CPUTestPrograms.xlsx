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d2x/Downloads/"/>
    </mc:Choice>
  </mc:AlternateContent>
  <xr:revisionPtr revIDLastSave="0" documentId="13_ncr:1_{8A873BA2-C3D4-5944-8F7B-55B193475F4E}" xr6:coauthVersionLast="47" xr6:coauthVersionMax="47" xr10:uidLastSave="{00000000-0000-0000-0000-000000000000}"/>
  <bookViews>
    <workbookView xWindow="0" yWindow="500" windowWidth="38400" windowHeight="21940" activeTab="1" xr2:uid="{420EFBC9-1CE1-494C-9FFB-DA1787FFB948}"/>
  </bookViews>
  <sheets>
    <sheet name="Test Program" sheetId="3" r:id="rId1"/>
    <sheet name="Program LA7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C6" i="3" s="1"/>
  <c r="D6" i="3" s="1"/>
  <c r="O7" i="3"/>
  <c r="C7" i="3" s="1"/>
  <c r="D7" i="3" s="1"/>
  <c r="O8" i="3"/>
  <c r="C8" i="3" s="1"/>
  <c r="D8" i="3" s="1"/>
  <c r="O9" i="3"/>
  <c r="C9" i="3" s="1"/>
  <c r="D9" i="3" s="1"/>
  <c r="O10" i="3"/>
  <c r="O11" i="3"/>
  <c r="C11" i="3" s="1"/>
  <c r="D11" i="3" s="1"/>
  <c r="O12" i="3"/>
  <c r="C12" i="3" s="1"/>
  <c r="D12" i="3" s="1"/>
  <c r="O13" i="3"/>
  <c r="O14" i="3"/>
  <c r="O15" i="3"/>
  <c r="O16" i="3"/>
  <c r="C16" i="3" s="1"/>
  <c r="D16" i="3" s="1"/>
  <c r="O17" i="3"/>
  <c r="C17" i="3" s="1"/>
  <c r="D17" i="3" s="1"/>
  <c r="O18" i="3"/>
  <c r="C18" i="3" s="1"/>
  <c r="D18" i="3" s="1"/>
  <c r="O19" i="3"/>
  <c r="C19" i="3" s="1"/>
  <c r="D19" i="3" s="1"/>
  <c r="O20" i="3"/>
  <c r="O21" i="3"/>
  <c r="C21" i="3" s="1"/>
  <c r="D21" i="3" s="1"/>
  <c r="O22" i="3"/>
  <c r="C22" i="3" s="1"/>
  <c r="D22" i="3" s="1"/>
  <c r="O23" i="3"/>
  <c r="O24" i="3"/>
  <c r="O25" i="3"/>
  <c r="O2" i="3"/>
  <c r="O3" i="6"/>
  <c r="O4" i="6"/>
  <c r="O5" i="6"/>
  <c r="O6" i="6"/>
  <c r="O7" i="6"/>
  <c r="C7" i="6" s="1"/>
  <c r="O8" i="6"/>
  <c r="O9" i="6"/>
  <c r="C9" i="6" s="1"/>
  <c r="O10" i="6"/>
  <c r="O11" i="6"/>
  <c r="C11" i="6" s="1"/>
  <c r="O12" i="6"/>
  <c r="C12" i="6" s="1"/>
  <c r="O13" i="6"/>
  <c r="O14" i="6"/>
  <c r="O15" i="6"/>
  <c r="O16" i="6"/>
  <c r="O17" i="6"/>
  <c r="O18" i="6"/>
  <c r="C18" i="6" s="1"/>
  <c r="O19" i="6"/>
  <c r="C19" i="6" s="1"/>
  <c r="O20" i="6"/>
  <c r="O21" i="6"/>
  <c r="O22" i="6"/>
  <c r="O23" i="6"/>
  <c r="O24" i="6"/>
  <c r="O25" i="6"/>
  <c r="O26" i="6"/>
  <c r="O27" i="6"/>
  <c r="O28" i="6"/>
  <c r="O29" i="6"/>
  <c r="O30" i="6"/>
  <c r="C30" i="6" s="1"/>
  <c r="O31" i="6"/>
  <c r="C31" i="6" s="1"/>
  <c r="O32" i="6"/>
  <c r="C32" i="6" s="1"/>
  <c r="C33" i="6"/>
  <c r="O2" i="6"/>
  <c r="C2" i="6" s="1"/>
  <c r="C26" i="6"/>
  <c r="C27" i="6"/>
  <c r="C28" i="6"/>
  <c r="C29" i="6"/>
  <c r="C14" i="6"/>
  <c r="C5" i="6"/>
  <c r="Q4" i="6"/>
  <c r="Q6" i="6" s="1"/>
  <c r="C4" i="6"/>
  <c r="R3" i="6"/>
  <c r="B3" i="6"/>
  <c r="B4" i="6" s="1"/>
  <c r="R2" i="6"/>
  <c r="A2" i="6"/>
  <c r="C3" i="3"/>
  <c r="D3" i="3" s="1"/>
  <c r="C4" i="3"/>
  <c r="D4" i="3" s="1"/>
  <c r="C5" i="3"/>
  <c r="C10" i="3"/>
  <c r="D10" i="3" s="1"/>
  <c r="C13" i="3"/>
  <c r="D13" i="3" s="1"/>
  <c r="C14" i="3"/>
  <c r="C15" i="3"/>
  <c r="C20" i="3"/>
  <c r="D20" i="3" s="1"/>
  <c r="C23" i="3"/>
  <c r="D23" i="3" s="1"/>
  <c r="C24" i="3"/>
  <c r="C25" i="3"/>
  <c r="C26" i="3"/>
  <c r="D26" i="3" s="1"/>
  <c r="C27" i="3"/>
  <c r="D27" i="3" s="1"/>
  <c r="C28" i="3"/>
  <c r="C29" i="3"/>
  <c r="C30" i="3"/>
  <c r="C31" i="3"/>
  <c r="D31" i="3" s="1"/>
  <c r="C32" i="3"/>
  <c r="D32" i="3" s="1"/>
  <c r="C33" i="3"/>
  <c r="C2" i="3"/>
  <c r="D2" i="3" s="1"/>
  <c r="D5" i="3"/>
  <c r="D14" i="3"/>
  <c r="D15" i="3"/>
  <c r="D24" i="3"/>
  <c r="D25" i="3"/>
  <c r="D28" i="3"/>
  <c r="D29" i="3"/>
  <c r="D30" i="3"/>
  <c r="D33" i="3"/>
  <c r="Q6" i="3"/>
  <c r="Q8" i="3" s="1"/>
  <c r="R4" i="3"/>
  <c r="Q4" i="3"/>
  <c r="B4" i="3"/>
  <c r="B5" i="3" s="1"/>
  <c r="B6" i="3" s="1"/>
  <c r="R3" i="3"/>
  <c r="B3" i="3"/>
  <c r="A3" i="3"/>
  <c r="R2" i="3"/>
  <c r="A2" i="3"/>
  <c r="D2" i="6" l="1"/>
  <c r="B5" i="6"/>
  <c r="A4" i="6"/>
  <c r="D4" i="6" s="1"/>
  <c r="Q8" i="6"/>
  <c r="Q9" i="6"/>
  <c r="R6" i="6"/>
  <c r="C23" i="6"/>
  <c r="Q7" i="6"/>
  <c r="A3" i="6"/>
  <c r="C3" i="6"/>
  <c r="R4" i="6"/>
  <c r="Q5" i="6"/>
  <c r="C6" i="6"/>
  <c r="Q5" i="3"/>
  <c r="A4" i="3"/>
  <c r="Q7" i="3"/>
  <c r="Q9" i="3"/>
  <c r="R8" i="3"/>
  <c r="B7" i="3"/>
  <c r="A6" i="3"/>
  <c r="A5" i="3"/>
  <c r="R6" i="3"/>
  <c r="R5" i="3"/>
  <c r="C24" i="6" l="1"/>
  <c r="R9" i="6"/>
  <c r="C22" i="6"/>
  <c r="C16" i="6"/>
  <c r="C8" i="6"/>
  <c r="C25" i="6"/>
  <c r="C17" i="6"/>
  <c r="R8" i="6"/>
  <c r="C20" i="6"/>
  <c r="R5" i="6"/>
  <c r="C13" i="6"/>
  <c r="C10" i="6"/>
  <c r="A5" i="6"/>
  <c r="D5" i="6" s="1"/>
  <c r="B6" i="6"/>
  <c r="D3" i="6"/>
  <c r="C21" i="6"/>
  <c r="C15" i="6"/>
  <c r="R7" i="6"/>
  <c r="R9" i="3"/>
  <c r="R7" i="3"/>
  <c r="A7" i="3"/>
  <c r="B8" i="3"/>
  <c r="B7" i="6" l="1"/>
  <c r="A6" i="6"/>
  <c r="D6" i="6" s="1"/>
  <c r="A8" i="3"/>
  <c r="B9" i="3"/>
  <c r="A7" i="6" l="1"/>
  <c r="D7" i="6" s="1"/>
  <c r="B8" i="6"/>
  <c r="B10" i="3"/>
  <c r="A9" i="3"/>
  <c r="B9" i="6" l="1"/>
  <c r="A8" i="6"/>
  <c r="D8" i="6" s="1"/>
  <c r="A10" i="3"/>
  <c r="B11" i="3"/>
  <c r="B10" i="6" l="1"/>
  <c r="A9" i="6"/>
  <c r="D9" i="6" s="1"/>
  <c r="B12" i="3"/>
  <c r="A11" i="3"/>
  <c r="A10" i="6" l="1"/>
  <c r="D10" i="6" s="1"/>
  <c r="B11" i="6"/>
  <c r="A12" i="3"/>
  <c r="B13" i="3"/>
  <c r="B12" i="6" l="1"/>
  <c r="A11" i="6"/>
  <c r="D11" i="6" s="1"/>
  <c r="B14" i="3"/>
  <c r="A13" i="3"/>
  <c r="A12" i="6" l="1"/>
  <c r="D12" i="6" s="1"/>
  <c r="B13" i="6"/>
  <c r="A14" i="3"/>
  <c r="B15" i="3"/>
  <c r="B14" i="6" l="1"/>
  <c r="A13" i="6"/>
  <c r="D13" i="6" s="1"/>
  <c r="B16" i="3"/>
  <c r="A15" i="3"/>
  <c r="A14" i="6" l="1"/>
  <c r="D14" i="6" s="1"/>
  <c r="B15" i="6"/>
  <c r="A16" i="3"/>
  <c r="B17" i="3"/>
  <c r="B16" i="6" l="1"/>
  <c r="A15" i="6"/>
  <c r="D15" i="6" s="1"/>
  <c r="B18" i="3"/>
  <c r="A17" i="3"/>
  <c r="A16" i="6" l="1"/>
  <c r="D16" i="6" s="1"/>
  <c r="B17" i="6"/>
  <c r="A18" i="3"/>
  <c r="B19" i="3"/>
  <c r="B18" i="6" l="1"/>
  <c r="A17" i="6"/>
  <c r="D17" i="6" s="1"/>
  <c r="B20" i="3"/>
  <c r="A19" i="3"/>
  <c r="A18" i="6" l="1"/>
  <c r="D18" i="6" s="1"/>
  <c r="B19" i="6"/>
  <c r="A20" i="3"/>
  <c r="B21" i="3"/>
  <c r="B20" i="6" l="1"/>
  <c r="A19" i="6"/>
  <c r="D19" i="6" s="1"/>
  <c r="B22" i="3"/>
  <c r="A21" i="3"/>
  <c r="A20" i="6" l="1"/>
  <c r="D20" i="6" s="1"/>
  <c r="B21" i="6"/>
  <c r="A22" i="3"/>
  <c r="B23" i="3"/>
  <c r="B22" i="6" l="1"/>
  <c r="A21" i="6"/>
  <c r="D21" i="6" s="1"/>
  <c r="B24" i="3"/>
  <c r="A23" i="3"/>
  <c r="A22" i="6" l="1"/>
  <c r="D22" i="6" s="1"/>
  <c r="B23" i="6"/>
  <c r="A24" i="3"/>
  <c r="B25" i="3"/>
  <c r="B24" i="6" l="1"/>
  <c r="A23" i="6"/>
  <c r="D23" i="6" s="1"/>
  <c r="B26" i="3"/>
  <c r="A25" i="3"/>
  <c r="A24" i="6" l="1"/>
  <c r="D24" i="6" s="1"/>
  <c r="B25" i="6"/>
  <c r="A26" i="3"/>
  <c r="B27" i="3"/>
  <c r="B26" i="6" l="1"/>
  <c r="A25" i="6"/>
  <c r="D25" i="6" s="1"/>
  <c r="B28" i="3"/>
  <c r="A27" i="3"/>
  <c r="A26" i="6" l="1"/>
  <c r="D26" i="6" s="1"/>
  <c r="B27" i="6"/>
  <c r="B29" i="3"/>
  <c r="A28" i="3"/>
  <c r="B28" i="6" l="1"/>
  <c r="A27" i="6"/>
  <c r="D27" i="6" s="1"/>
  <c r="A29" i="3"/>
  <c r="B30" i="3"/>
  <c r="B29" i="6" l="1"/>
  <c r="A28" i="6"/>
  <c r="D28" i="6" s="1"/>
  <c r="B31" i="3"/>
  <c r="A30" i="3"/>
  <c r="B30" i="6" l="1"/>
  <c r="A29" i="6"/>
  <c r="D29" i="6" s="1"/>
  <c r="B32" i="3"/>
  <c r="A31" i="3"/>
  <c r="B31" i="6" l="1"/>
  <c r="A30" i="6"/>
  <c r="D30" i="6" s="1"/>
  <c r="B33" i="3"/>
  <c r="A33" i="3" s="1"/>
  <c r="A32" i="3"/>
  <c r="A31" i="6" l="1"/>
  <c r="D31" i="6" s="1"/>
  <c r="B32" i="6"/>
  <c r="B33" i="6" l="1"/>
  <c r="A33" i="6" s="1"/>
  <c r="D33" i="6" s="1"/>
  <c r="A32" i="6"/>
  <c r="D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O32" authorId="0" shapeId="0" xr:uid="{CE552B0D-2455-FC4A-BC61-F8864DBEDDA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column is used to interpret the instruction mneumonic in column E and convert to a numeric value according to the table located at P2:R9.</t>
        </r>
      </text>
    </comment>
    <comment ref="E33" authorId="0" shapeId="0" xr:uid="{9AC5D6D4-1553-5E4C-8C69-7A67D628F6B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Any memory locations that are used to store data values do not need to have the instruction mneumonic interpreted by column O.</t>
        </r>
      </text>
    </comment>
  </commentList>
</comments>
</file>

<file path=xl/sharedStrings.xml><?xml version="1.0" encoding="utf-8"?>
<sst xmlns="http://schemas.openxmlformats.org/spreadsheetml/2006/main" count="92" uniqueCount="41">
  <si>
    <t>Instruction</t>
  </si>
  <si>
    <t>Memory Address
(hex)</t>
  </si>
  <si>
    <t>Memory Address
(decimal)</t>
  </si>
  <si>
    <t>Data
(Hex)</t>
  </si>
  <si>
    <t>Address
(Decimal)</t>
  </si>
  <si>
    <t>Description</t>
  </si>
  <si>
    <t>Instruction
(numeric)</t>
  </si>
  <si>
    <t>load</t>
  </si>
  <si>
    <r>
      <t xml:space="preserve">load value of </t>
    </r>
    <r>
      <rPr>
        <b/>
        <sz val="11"/>
        <color theme="1"/>
        <rFont val="Calibri"/>
        <family val="2"/>
        <scheme val="minor"/>
      </rPr>
      <t>DataMemoryCounter</t>
    </r>
  </si>
  <si>
    <t>add</t>
  </si>
  <si>
    <r>
      <t xml:space="preserve">add value of </t>
    </r>
    <r>
      <rPr>
        <b/>
        <sz val="11"/>
        <color theme="1"/>
        <rFont val="Calibri"/>
        <family val="2"/>
        <scheme val="minor"/>
      </rPr>
      <t>DataMemoryCounter</t>
    </r>
    <r>
      <rPr>
        <sz val="11"/>
        <color theme="1"/>
        <rFont val="Calibri"/>
        <family val="2"/>
        <scheme val="minor"/>
      </rPr>
      <t xml:space="preserve"> to instruction at MA = </t>
    </r>
    <r>
      <rPr>
        <b/>
        <sz val="11"/>
        <color theme="1"/>
        <rFont val="Calibri"/>
        <family val="2"/>
        <scheme val="minor"/>
      </rPr>
      <t>FunctionStartAddress</t>
    </r>
  </si>
  <si>
    <t>store</t>
  </si>
  <si>
    <r>
      <t xml:space="preserve">store modified instruction at MA = </t>
    </r>
    <r>
      <rPr>
        <b/>
        <sz val="11"/>
        <color theme="1"/>
        <rFont val="Calibri"/>
        <family val="2"/>
        <scheme val="minor"/>
      </rPr>
      <t>FunctionStartAddress</t>
    </r>
  </si>
  <si>
    <r>
      <t xml:space="preserve">load value stored of </t>
    </r>
    <r>
      <rPr>
        <b/>
        <sz val="11"/>
        <color theme="1"/>
        <rFont val="Calibri"/>
        <family val="2"/>
        <scheme val="minor"/>
      </rPr>
      <t>DataMemoryCounter</t>
    </r>
  </si>
  <si>
    <t>sub</t>
  </si>
  <si>
    <r>
      <t xml:space="preserve">add value of </t>
    </r>
    <r>
      <rPr>
        <b/>
        <sz val="11"/>
        <color theme="1"/>
        <rFont val="Calibri"/>
        <family val="2"/>
        <scheme val="minor"/>
      </rPr>
      <t>DataMemoryCounter</t>
    </r>
    <r>
      <rPr>
        <sz val="11"/>
        <color theme="1"/>
        <rFont val="Calibri"/>
        <family val="2"/>
        <scheme val="minor"/>
      </rPr>
      <t xml:space="preserve"> to instruction at MA = </t>
    </r>
    <r>
      <rPr>
        <b/>
        <sz val="11"/>
        <color theme="1"/>
        <rFont val="Calibri"/>
        <family val="2"/>
        <scheme val="minor"/>
      </rPr>
      <t>FunctionStartAddress</t>
    </r>
    <r>
      <rPr>
        <sz val="11"/>
        <color theme="1"/>
        <rFont val="Calibri"/>
        <family val="2"/>
        <scheme val="minor"/>
      </rPr>
      <t>+2</t>
    </r>
  </si>
  <si>
    <t>inc</t>
  </si>
  <si>
    <r>
      <t xml:space="preserve">store modified instruction at MA = </t>
    </r>
    <r>
      <rPr>
        <b/>
        <sz val="11"/>
        <color theme="1"/>
        <rFont val="Calibri"/>
        <family val="2"/>
        <scheme val="minor"/>
      </rPr>
      <t>FunctionStartAddress</t>
    </r>
    <r>
      <rPr>
        <sz val="11"/>
        <color theme="1"/>
        <rFont val="Calibri"/>
        <family val="2"/>
        <scheme val="minor"/>
      </rPr>
      <t>+2</t>
    </r>
  </si>
  <si>
    <t>dec</t>
  </si>
  <si>
    <t>bra</t>
  </si>
  <si>
    <r>
      <t xml:space="preserve">branch to function at MA = </t>
    </r>
    <r>
      <rPr>
        <b/>
        <sz val="11"/>
        <color theme="1"/>
        <rFont val="Calibri"/>
        <family val="2"/>
        <scheme val="minor"/>
      </rPr>
      <t>FunctionStartAddress</t>
    </r>
  </si>
  <si>
    <r>
      <t xml:space="preserve">load instruction stored at MA = </t>
    </r>
    <r>
      <rPr>
        <b/>
        <sz val="11"/>
        <color theme="1"/>
        <rFont val="Calibri"/>
        <family val="2"/>
        <scheme val="minor"/>
      </rPr>
      <t>FunctionStartAddress</t>
    </r>
    <r>
      <rPr>
        <sz val="11"/>
        <color theme="1"/>
        <rFont val="Calibri"/>
        <family val="2"/>
        <scheme val="minor"/>
      </rPr>
      <t xml:space="preserve"> (reverse previous instruction effects)</t>
    </r>
  </si>
  <si>
    <t>beq</t>
  </si>
  <si>
    <r>
      <t xml:space="preserve">subtract value of </t>
    </r>
    <r>
      <rPr>
        <b/>
        <sz val="11"/>
        <color theme="1"/>
        <rFont val="Calibri"/>
        <family val="2"/>
        <scheme val="minor"/>
      </rPr>
      <t>DataMemoryCounter</t>
    </r>
    <r>
      <rPr>
        <sz val="11"/>
        <color theme="1"/>
        <rFont val="Calibri"/>
        <family val="2"/>
        <scheme val="minor"/>
      </rPr>
      <t xml:space="preserve"> from instruction at MA = </t>
    </r>
    <r>
      <rPr>
        <b/>
        <sz val="11"/>
        <color theme="1"/>
        <rFont val="Calibri"/>
        <family val="2"/>
        <scheme val="minor"/>
      </rPr>
      <t>FunctionStartAddress</t>
    </r>
  </si>
  <si>
    <r>
      <t xml:space="preserve">load instruction stored at MA = </t>
    </r>
    <r>
      <rPr>
        <b/>
        <sz val="11"/>
        <color theme="1"/>
        <rFont val="Calibri"/>
        <family val="2"/>
        <scheme val="minor"/>
      </rPr>
      <t>FunctionStartAddress</t>
    </r>
    <r>
      <rPr>
        <sz val="11"/>
        <color theme="1"/>
        <rFont val="Calibri"/>
        <family val="2"/>
        <scheme val="minor"/>
      </rPr>
      <t>+2</t>
    </r>
  </si>
  <si>
    <r>
      <t xml:space="preserve">subtract value of </t>
    </r>
    <r>
      <rPr>
        <b/>
        <sz val="11"/>
        <color theme="1"/>
        <rFont val="Calibri"/>
        <family val="2"/>
        <scheme val="minor"/>
      </rPr>
      <t>DataMemoryCounter</t>
    </r>
    <r>
      <rPr>
        <sz val="11"/>
        <color theme="1"/>
        <rFont val="Calibri"/>
        <family val="2"/>
        <scheme val="minor"/>
      </rPr>
      <t xml:space="preserve"> from instruction at MA = </t>
    </r>
    <r>
      <rPr>
        <b/>
        <sz val="11"/>
        <color theme="1"/>
        <rFont val="Calibri"/>
        <family val="2"/>
        <scheme val="minor"/>
      </rPr>
      <t>FunctionStartAddress</t>
    </r>
    <r>
      <rPr>
        <sz val="11"/>
        <color theme="1"/>
        <rFont val="Calibri"/>
        <family val="2"/>
        <scheme val="minor"/>
      </rPr>
      <t>+2</t>
    </r>
  </si>
  <si>
    <r>
      <t xml:space="preserve">decrement </t>
    </r>
    <r>
      <rPr>
        <b/>
        <sz val="11"/>
        <color theme="1"/>
        <rFont val="Calibri"/>
        <family val="2"/>
        <scheme val="minor"/>
      </rPr>
      <t>DataMemoryCounter</t>
    </r>
  </si>
  <si>
    <r>
      <t xml:space="preserve">if equal to zero, branch to MA = 16 to reset </t>
    </r>
    <r>
      <rPr>
        <b/>
        <sz val="11"/>
        <color theme="1"/>
        <rFont val="Calibri"/>
        <family val="2"/>
        <scheme val="minor"/>
      </rPr>
      <t>DataMemoryCounter</t>
    </r>
    <r>
      <rPr>
        <sz val="11"/>
        <color theme="1"/>
        <rFont val="Calibri"/>
        <family val="2"/>
        <scheme val="minor"/>
      </rPr>
      <t xml:space="preserve"> with value = </t>
    </r>
    <r>
      <rPr>
        <b/>
        <sz val="11"/>
        <color theme="1"/>
        <rFont val="Calibri"/>
        <family val="2"/>
        <scheme val="minor"/>
      </rPr>
      <t>DataMemoryLength</t>
    </r>
  </si>
  <si>
    <t>unconditional branch to MA = 0</t>
  </si>
  <si>
    <r>
      <t xml:space="preserve">load value of </t>
    </r>
    <r>
      <rPr>
        <b/>
        <sz val="11"/>
        <color theme="1"/>
        <rFont val="Calibri"/>
        <family val="2"/>
        <scheme val="minor"/>
      </rPr>
      <t>DataMemoryLength</t>
    </r>
  </si>
  <si>
    <r>
      <t xml:space="preserve">store value of </t>
    </r>
    <r>
      <rPr>
        <b/>
        <sz val="11"/>
        <color theme="1"/>
        <rFont val="Calibri"/>
        <family val="2"/>
        <scheme val="minor"/>
      </rPr>
      <t>DataMemoryCounter</t>
    </r>
  </si>
  <si>
    <r>
      <rPr>
        <b/>
        <sz val="11"/>
        <color theme="1"/>
        <rFont val="Calibri"/>
        <family val="2"/>
        <scheme val="minor"/>
      </rPr>
      <t>FunctionStartAddress</t>
    </r>
    <r>
      <rPr>
        <sz val="11"/>
        <color theme="1"/>
        <rFont val="Calibri"/>
        <family val="2"/>
        <scheme val="minor"/>
      </rPr>
      <t xml:space="preserve">: Decrement value at MA (initial value of MA = </t>
    </r>
    <r>
      <rPr>
        <b/>
        <sz val="11"/>
        <color theme="1"/>
        <rFont val="Calibri"/>
        <family val="2"/>
        <scheme val="minor"/>
      </rPr>
      <t>StartOfDataMemory</t>
    </r>
    <r>
      <rPr>
        <sz val="11"/>
        <color theme="1"/>
        <rFont val="Calibri"/>
        <family val="2"/>
        <scheme val="minor"/>
      </rPr>
      <t xml:space="preserve"> -1)</t>
    </r>
  </si>
  <si>
    <t>branch to MA = 23 if equal to zero (which should never occur)</t>
  </si>
  <si>
    <r>
      <t xml:space="preserve">increment value at MA (initial value of MA = </t>
    </r>
    <r>
      <rPr>
        <b/>
        <sz val="11"/>
        <color theme="1"/>
        <rFont val="Calibri"/>
        <family val="2"/>
        <scheme val="minor"/>
      </rPr>
      <t>StartOfDataMemory</t>
    </r>
    <r>
      <rPr>
        <sz val="11"/>
        <color theme="1"/>
        <rFont val="Calibri"/>
        <family val="2"/>
        <scheme val="minor"/>
      </rPr>
      <t xml:space="preserve"> -1)</t>
    </r>
  </si>
  <si>
    <t>branch to MA = 7 if equal to zero (which should always occur)</t>
  </si>
  <si>
    <t>infinite loop - should never arrive here</t>
  </si>
  <si>
    <t>data</t>
  </si>
  <si>
    <r>
      <rPr>
        <b/>
        <sz val="11"/>
        <color theme="1"/>
        <rFont val="Calibri"/>
        <family val="2"/>
        <scheme val="minor"/>
      </rPr>
      <t>DataMemoryLength</t>
    </r>
    <r>
      <rPr>
        <sz val="11"/>
        <color theme="1"/>
        <rFont val="Calibri"/>
        <family val="2"/>
        <scheme val="minor"/>
      </rPr>
      <t xml:space="preserve"> (constant)</t>
    </r>
  </si>
  <si>
    <r>
      <rPr>
        <b/>
        <sz val="11"/>
        <color theme="1"/>
        <rFont val="Calibri"/>
        <family val="2"/>
        <scheme val="minor"/>
      </rPr>
      <t>DataMemoryCounter</t>
    </r>
    <r>
      <rPr>
        <sz val="11"/>
        <color theme="1"/>
        <rFont val="Calibri"/>
        <family val="2"/>
        <scheme val="minor"/>
      </rPr>
      <t xml:space="preserve"> variable location</t>
    </r>
  </si>
  <si>
    <t>StartOfDataMemory</t>
  </si>
  <si>
    <t>Memory File
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</si>
</sst>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49" fontId="1" fillId="0" borderId="1" xfId="0" applyNumberFormat="1" applyFont="1" applyBorder="1"/>
    <xf numFmtId="0" fontId="3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/>
    </xf>
    <xf numFmtId="0" fontId="2" fillId="0" borderId="1" xfId="0" applyFont="1" applyFill="1" applyBorder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65C8-FAD0-6D48-9E50-23F0BB400089}">
  <sheetPr>
    <pageSetUpPr fitToPage="1"/>
  </sheetPr>
  <dimension ref="A1:R33"/>
  <sheetViews>
    <sheetView zoomScale="125" zoomScaleNormal="125" workbookViewId="0"/>
  </sheetViews>
  <sheetFormatPr baseColWidth="10" defaultRowHeight="16" x14ac:dyDescent="0.2"/>
  <cols>
    <col min="1" max="1" width="14.1640625" customWidth="1"/>
    <col min="2" max="2" width="14.6640625" customWidth="1"/>
    <col min="3" max="3" width="5.1640625" customWidth="1"/>
    <col min="4" max="4" width="11.33203125" customWidth="1"/>
    <col min="5" max="5" width="9.6640625" customWidth="1"/>
    <col min="6" max="6" width="9.5" customWidth="1"/>
    <col min="18" max="18" width="12.5" customWidth="1"/>
  </cols>
  <sheetData>
    <row r="1" spans="1:18" ht="31" customHeight="1" x14ac:dyDescent="0.2">
      <c r="A1" s="1" t="s">
        <v>1</v>
      </c>
      <c r="B1" s="1" t="s">
        <v>2</v>
      </c>
      <c r="C1" s="2" t="s">
        <v>3</v>
      </c>
      <c r="D1" s="2" t="s">
        <v>40</v>
      </c>
      <c r="E1" s="3" t="s">
        <v>0</v>
      </c>
      <c r="F1" s="1" t="s">
        <v>4</v>
      </c>
      <c r="G1" s="3" t="s">
        <v>5</v>
      </c>
      <c r="H1" s="4"/>
      <c r="O1" s="5" t="s">
        <v>6</v>
      </c>
    </row>
    <row r="2" spans="1:18" x14ac:dyDescent="0.2">
      <c r="A2" s="6" t="str">
        <f t="shared" ref="A2:A33" si="0">DEC2HEX(B2,2)</f>
        <v>00</v>
      </c>
      <c r="B2" s="6">
        <v>0</v>
      </c>
      <c r="C2" s="6" t="str">
        <f>DEC2HEX(O2+F2,2)</f>
        <v>19</v>
      </c>
      <c r="D2" s="11" t="str">
        <f>_xlfn.CONCAT(A2,"/",C2,";")</f>
        <v>00/19;</v>
      </c>
      <c r="E2" s="7" t="s">
        <v>7</v>
      </c>
      <c r="F2" s="8">
        <v>25</v>
      </c>
      <c r="G2" s="4" t="s">
        <v>8</v>
      </c>
      <c r="H2" s="4"/>
      <c r="O2" s="4">
        <f>IF(E2=$P$2,$Q$2,IF(E2=$P$3,$Q$3,IF(E2=$P$4,$Q$4,IF(E2=$P$5,$Q$5,IF(E2=$P$6,$Q$6,IF(E2=$P$7,$Q$7,IF(E2=$P$8,$Q$8,IF(E2=$P$9,$Q$9,255))))))))</f>
        <v>0</v>
      </c>
      <c r="P2" t="s">
        <v>7</v>
      </c>
      <c r="Q2">
        <v>0</v>
      </c>
      <c r="R2" t="str">
        <f>DEC2BIN(Q2,8)</f>
        <v>00000000</v>
      </c>
    </row>
    <row r="3" spans="1:18" x14ac:dyDescent="0.2">
      <c r="A3" s="6" t="str">
        <f t="shared" si="0"/>
        <v>01</v>
      </c>
      <c r="B3" s="6">
        <f>B2+1</f>
        <v>1</v>
      </c>
      <c r="C3" s="6" t="str">
        <f t="shared" ref="C3:C33" si="1">DEC2HEX(O3+F3,2)</f>
        <v>53</v>
      </c>
      <c r="D3" s="11" t="str">
        <f t="shared" ref="D3:D33" si="2">_xlfn.CONCAT(A3,"/",C3,";")</f>
        <v>01/53;</v>
      </c>
      <c r="E3" s="7" t="s">
        <v>9</v>
      </c>
      <c r="F3" s="8">
        <v>19</v>
      </c>
      <c r="G3" s="4" t="s">
        <v>10</v>
      </c>
      <c r="H3" s="4"/>
      <c r="O3" s="4">
        <f t="shared" ref="O3:O25" si="3">IF(E3=$P$2,$Q$2,IF(E3=$P$3,$Q$3,IF(E3=$P$4,$Q$4,IF(E3=$P$5,$Q$5,IF(E3=$P$6,$Q$6,IF(E3=$P$7,$Q$7,IF(E3=$P$8,$Q$8,IF(E3=$P$9,$Q$9,255))))))))</f>
        <v>64</v>
      </c>
      <c r="P3" t="s">
        <v>11</v>
      </c>
      <c r="Q3">
        <v>32</v>
      </c>
      <c r="R3" t="str">
        <f t="shared" ref="R3:R9" si="4">DEC2BIN(Q3,8)</f>
        <v>00100000</v>
      </c>
    </row>
    <row r="4" spans="1:18" x14ac:dyDescent="0.2">
      <c r="A4" s="6" t="str">
        <f t="shared" si="0"/>
        <v>02</v>
      </c>
      <c r="B4" s="6">
        <f t="shared" ref="B4:B32" si="5">B3+1</f>
        <v>2</v>
      </c>
      <c r="C4" s="6" t="str">
        <f t="shared" si="1"/>
        <v>33</v>
      </c>
      <c r="D4" s="11" t="str">
        <f t="shared" si="2"/>
        <v>02/33;</v>
      </c>
      <c r="E4" s="7" t="s">
        <v>11</v>
      </c>
      <c r="F4" s="8">
        <v>19</v>
      </c>
      <c r="G4" s="4" t="s">
        <v>12</v>
      </c>
      <c r="H4" s="4"/>
      <c r="O4" s="4">
        <f t="shared" si="3"/>
        <v>32</v>
      </c>
      <c r="P4" t="s">
        <v>9</v>
      </c>
      <c r="Q4">
        <f>Q3*2</f>
        <v>64</v>
      </c>
      <c r="R4" t="str">
        <f t="shared" si="4"/>
        <v>01000000</v>
      </c>
    </row>
    <row r="5" spans="1:18" x14ac:dyDescent="0.2">
      <c r="A5" s="6" t="str">
        <f t="shared" si="0"/>
        <v>03</v>
      </c>
      <c r="B5" s="6">
        <f t="shared" si="5"/>
        <v>3</v>
      </c>
      <c r="C5" s="6" t="str">
        <f t="shared" si="1"/>
        <v>19</v>
      </c>
      <c r="D5" s="11" t="str">
        <f t="shared" si="2"/>
        <v>03/19;</v>
      </c>
      <c r="E5" s="7" t="s">
        <v>7</v>
      </c>
      <c r="F5" s="8">
        <v>25</v>
      </c>
      <c r="G5" s="4" t="s">
        <v>13</v>
      </c>
      <c r="H5" s="4"/>
      <c r="O5" s="4">
        <f t="shared" si="3"/>
        <v>0</v>
      </c>
      <c r="P5" t="s">
        <v>14</v>
      </c>
      <c r="Q5">
        <f>Q3+Q4</f>
        <v>96</v>
      </c>
      <c r="R5" t="str">
        <f t="shared" si="4"/>
        <v>01100000</v>
      </c>
    </row>
    <row r="6" spans="1:18" x14ac:dyDescent="0.2">
      <c r="A6" s="6" t="str">
        <f t="shared" si="0"/>
        <v>04</v>
      </c>
      <c r="B6" s="6">
        <f t="shared" si="5"/>
        <v>4</v>
      </c>
      <c r="C6" s="6" t="str">
        <f t="shared" si="1"/>
        <v>55</v>
      </c>
      <c r="D6" s="11" t="str">
        <f t="shared" si="2"/>
        <v>04/55;</v>
      </c>
      <c r="E6" s="7" t="s">
        <v>9</v>
      </c>
      <c r="F6" s="8">
        <v>21</v>
      </c>
      <c r="G6" s="4" t="s">
        <v>15</v>
      </c>
      <c r="H6" s="4"/>
      <c r="O6" s="4">
        <f t="shared" si="3"/>
        <v>64</v>
      </c>
      <c r="P6" t="s">
        <v>16</v>
      </c>
      <c r="Q6">
        <f>Q4*2</f>
        <v>128</v>
      </c>
      <c r="R6" t="str">
        <f t="shared" si="4"/>
        <v>10000000</v>
      </c>
    </row>
    <row r="7" spans="1:18" x14ac:dyDescent="0.2">
      <c r="A7" s="6" t="str">
        <f t="shared" si="0"/>
        <v>05</v>
      </c>
      <c r="B7" s="6">
        <f t="shared" si="5"/>
        <v>5</v>
      </c>
      <c r="C7" s="6" t="str">
        <f t="shared" si="1"/>
        <v>35</v>
      </c>
      <c r="D7" s="11" t="str">
        <f t="shared" si="2"/>
        <v>05/35;</v>
      </c>
      <c r="E7" s="7" t="s">
        <v>11</v>
      </c>
      <c r="F7" s="8">
        <v>21</v>
      </c>
      <c r="G7" s="4" t="s">
        <v>17</v>
      </c>
      <c r="H7" s="4"/>
      <c r="O7" s="4">
        <f t="shared" si="3"/>
        <v>32</v>
      </c>
      <c r="P7" t="s">
        <v>18</v>
      </c>
      <c r="Q7">
        <f>Q6+Q3</f>
        <v>160</v>
      </c>
      <c r="R7" t="str">
        <f t="shared" si="4"/>
        <v>10100000</v>
      </c>
    </row>
    <row r="8" spans="1:18" x14ac:dyDescent="0.2">
      <c r="A8" s="6" t="str">
        <f t="shared" si="0"/>
        <v>06</v>
      </c>
      <c r="B8" s="6">
        <f t="shared" si="5"/>
        <v>6</v>
      </c>
      <c r="C8" s="6" t="str">
        <f t="shared" si="1"/>
        <v>D3</v>
      </c>
      <c r="D8" s="11" t="str">
        <f t="shared" si="2"/>
        <v>06/D3;</v>
      </c>
      <c r="E8" s="7" t="s">
        <v>19</v>
      </c>
      <c r="F8" s="8">
        <v>19</v>
      </c>
      <c r="G8" s="4" t="s">
        <v>20</v>
      </c>
      <c r="H8" s="4"/>
      <c r="O8" s="4">
        <f t="shared" si="3"/>
        <v>192</v>
      </c>
      <c r="P8" t="s">
        <v>19</v>
      </c>
      <c r="Q8">
        <f>Q6+Q4</f>
        <v>192</v>
      </c>
      <c r="R8" t="str">
        <f t="shared" si="4"/>
        <v>11000000</v>
      </c>
    </row>
    <row r="9" spans="1:18" x14ac:dyDescent="0.2">
      <c r="A9" s="6" t="str">
        <f t="shared" si="0"/>
        <v>07</v>
      </c>
      <c r="B9" s="6">
        <f t="shared" si="5"/>
        <v>7</v>
      </c>
      <c r="C9" s="6" t="str">
        <f t="shared" si="1"/>
        <v>13</v>
      </c>
      <c r="D9" s="11" t="str">
        <f t="shared" si="2"/>
        <v>07/13;</v>
      </c>
      <c r="E9" s="7" t="s">
        <v>7</v>
      </c>
      <c r="F9" s="8">
        <v>19</v>
      </c>
      <c r="G9" s="4" t="s">
        <v>21</v>
      </c>
      <c r="H9" s="4"/>
      <c r="O9" s="4">
        <f t="shared" si="3"/>
        <v>0</v>
      </c>
      <c r="P9" t="s">
        <v>22</v>
      </c>
      <c r="Q9">
        <f>Q6+Q4+Q3</f>
        <v>224</v>
      </c>
      <c r="R9" t="str">
        <f t="shared" si="4"/>
        <v>11100000</v>
      </c>
    </row>
    <row r="10" spans="1:18" x14ac:dyDescent="0.2">
      <c r="A10" s="6" t="str">
        <f t="shared" si="0"/>
        <v>08</v>
      </c>
      <c r="B10" s="6">
        <f t="shared" si="5"/>
        <v>8</v>
      </c>
      <c r="C10" s="6" t="str">
        <f t="shared" si="1"/>
        <v>79</v>
      </c>
      <c r="D10" s="11" t="str">
        <f t="shared" si="2"/>
        <v>08/79;</v>
      </c>
      <c r="E10" s="7" t="s">
        <v>14</v>
      </c>
      <c r="F10" s="8">
        <v>25</v>
      </c>
      <c r="G10" s="4" t="s">
        <v>23</v>
      </c>
      <c r="H10" s="4"/>
      <c r="O10" s="4">
        <f t="shared" si="3"/>
        <v>96</v>
      </c>
    </row>
    <row r="11" spans="1:18" x14ac:dyDescent="0.2">
      <c r="A11" s="6" t="str">
        <f t="shared" si="0"/>
        <v>09</v>
      </c>
      <c r="B11" s="6">
        <f t="shared" si="5"/>
        <v>9</v>
      </c>
      <c r="C11" s="6" t="str">
        <f t="shared" si="1"/>
        <v>33</v>
      </c>
      <c r="D11" s="11" t="str">
        <f t="shared" si="2"/>
        <v>09/33;</v>
      </c>
      <c r="E11" s="7" t="s">
        <v>11</v>
      </c>
      <c r="F11" s="8">
        <v>19</v>
      </c>
      <c r="G11" s="4" t="s">
        <v>12</v>
      </c>
      <c r="H11" s="4"/>
      <c r="O11" s="4">
        <f t="shared" si="3"/>
        <v>32</v>
      </c>
    </row>
    <row r="12" spans="1:18" x14ac:dyDescent="0.2">
      <c r="A12" s="6" t="str">
        <f t="shared" si="0"/>
        <v>0A</v>
      </c>
      <c r="B12" s="6">
        <f t="shared" si="5"/>
        <v>10</v>
      </c>
      <c r="C12" s="6" t="str">
        <f t="shared" si="1"/>
        <v>15</v>
      </c>
      <c r="D12" s="11" t="str">
        <f t="shared" si="2"/>
        <v>0A/15;</v>
      </c>
      <c r="E12" s="7" t="s">
        <v>7</v>
      </c>
      <c r="F12" s="8">
        <v>21</v>
      </c>
      <c r="G12" s="4" t="s">
        <v>24</v>
      </c>
      <c r="H12" s="4"/>
      <c r="O12" s="4">
        <f t="shared" si="3"/>
        <v>0</v>
      </c>
    </row>
    <row r="13" spans="1:18" x14ac:dyDescent="0.2">
      <c r="A13" s="6" t="str">
        <f t="shared" si="0"/>
        <v>0B</v>
      </c>
      <c r="B13" s="6">
        <f t="shared" si="5"/>
        <v>11</v>
      </c>
      <c r="C13" s="6" t="str">
        <f t="shared" si="1"/>
        <v>79</v>
      </c>
      <c r="D13" s="11" t="str">
        <f t="shared" si="2"/>
        <v>0B/79;</v>
      </c>
      <c r="E13" s="7" t="s">
        <v>14</v>
      </c>
      <c r="F13" s="8">
        <v>25</v>
      </c>
      <c r="G13" s="4" t="s">
        <v>25</v>
      </c>
      <c r="H13" s="4"/>
      <c r="O13" s="4">
        <f t="shared" si="3"/>
        <v>96</v>
      </c>
    </row>
    <row r="14" spans="1:18" x14ac:dyDescent="0.2">
      <c r="A14" s="6" t="str">
        <f t="shared" si="0"/>
        <v>0C</v>
      </c>
      <c r="B14" s="6">
        <f t="shared" si="5"/>
        <v>12</v>
      </c>
      <c r="C14" s="6" t="str">
        <f t="shared" si="1"/>
        <v>35</v>
      </c>
      <c r="D14" s="11" t="str">
        <f t="shared" si="2"/>
        <v>0C/35;</v>
      </c>
      <c r="E14" s="7" t="s">
        <v>11</v>
      </c>
      <c r="F14" s="8">
        <v>21</v>
      </c>
      <c r="G14" s="4" t="s">
        <v>17</v>
      </c>
      <c r="H14" s="4"/>
      <c r="O14" s="4">
        <f t="shared" si="3"/>
        <v>32</v>
      </c>
    </row>
    <row r="15" spans="1:18" x14ac:dyDescent="0.2">
      <c r="A15" s="6" t="str">
        <f t="shared" si="0"/>
        <v>0D</v>
      </c>
      <c r="B15" s="6">
        <f t="shared" si="5"/>
        <v>13</v>
      </c>
      <c r="C15" s="6" t="str">
        <f t="shared" si="1"/>
        <v>B9</v>
      </c>
      <c r="D15" s="11" t="str">
        <f t="shared" si="2"/>
        <v>0D/B9;</v>
      </c>
      <c r="E15" s="9" t="s">
        <v>18</v>
      </c>
      <c r="F15" s="8">
        <v>25</v>
      </c>
      <c r="G15" s="4" t="s">
        <v>26</v>
      </c>
      <c r="H15" s="4"/>
      <c r="O15" s="4">
        <f t="shared" si="3"/>
        <v>160</v>
      </c>
    </row>
    <row r="16" spans="1:18" x14ac:dyDescent="0.2">
      <c r="A16" s="6" t="str">
        <f t="shared" si="0"/>
        <v>0E</v>
      </c>
      <c r="B16" s="6">
        <f t="shared" si="5"/>
        <v>14</v>
      </c>
      <c r="C16" s="6" t="str">
        <f t="shared" si="1"/>
        <v>F0</v>
      </c>
      <c r="D16" s="11" t="str">
        <f t="shared" si="2"/>
        <v>0E/F0;</v>
      </c>
      <c r="E16" s="7" t="s">
        <v>22</v>
      </c>
      <c r="F16" s="8">
        <v>16</v>
      </c>
      <c r="G16" s="4" t="s">
        <v>27</v>
      </c>
      <c r="H16" s="4"/>
      <c r="O16" s="4">
        <f t="shared" si="3"/>
        <v>224</v>
      </c>
    </row>
    <row r="17" spans="1:15" x14ac:dyDescent="0.2">
      <c r="A17" s="6" t="str">
        <f t="shared" si="0"/>
        <v>0F</v>
      </c>
      <c r="B17" s="6">
        <f t="shared" si="5"/>
        <v>15</v>
      </c>
      <c r="C17" s="6" t="str">
        <f t="shared" si="1"/>
        <v>C0</v>
      </c>
      <c r="D17" s="11" t="str">
        <f t="shared" si="2"/>
        <v>0F/C0;</v>
      </c>
      <c r="E17" s="7" t="s">
        <v>19</v>
      </c>
      <c r="F17" s="8">
        <v>0</v>
      </c>
      <c r="G17" s="4" t="s">
        <v>28</v>
      </c>
      <c r="H17" s="4"/>
      <c r="O17" s="4">
        <f t="shared" si="3"/>
        <v>192</v>
      </c>
    </row>
    <row r="18" spans="1:15" x14ac:dyDescent="0.2">
      <c r="A18" s="6" t="str">
        <f t="shared" si="0"/>
        <v>10</v>
      </c>
      <c r="B18" s="6">
        <f t="shared" si="5"/>
        <v>16</v>
      </c>
      <c r="C18" s="6" t="str">
        <f t="shared" si="1"/>
        <v>18</v>
      </c>
      <c r="D18" s="11" t="str">
        <f t="shared" si="2"/>
        <v>10/18;</v>
      </c>
      <c r="E18" s="7" t="s">
        <v>7</v>
      </c>
      <c r="F18" s="8">
        <v>24</v>
      </c>
      <c r="G18" s="4" t="s">
        <v>29</v>
      </c>
      <c r="H18" s="4"/>
      <c r="O18" s="4">
        <f t="shared" si="3"/>
        <v>0</v>
      </c>
    </row>
    <row r="19" spans="1:15" x14ac:dyDescent="0.2">
      <c r="A19" s="6" t="str">
        <f t="shared" si="0"/>
        <v>11</v>
      </c>
      <c r="B19" s="6">
        <f t="shared" si="5"/>
        <v>17</v>
      </c>
      <c r="C19" s="6" t="str">
        <f t="shared" si="1"/>
        <v>39</v>
      </c>
      <c r="D19" s="11" t="str">
        <f t="shared" si="2"/>
        <v>11/39;</v>
      </c>
      <c r="E19" s="7" t="s">
        <v>11</v>
      </c>
      <c r="F19" s="8">
        <v>25</v>
      </c>
      <c r="G19" s="4" t="s">
        <v>30</v>
      </c>
      <c r="H19" s="4"/>
      <c r="O19" s="4">
        <f t="shared" si="3"/>
        <v>32</v>
      </c>
    </row>
    <row r="20" spans="1:15" x14ac:dyDescent="0.2">
      <c r="A20" s="6" t="str">
        <f t="shared" si="0"/>
        <v>12</v>
      </c>
      <c r="B20" s="6">
        <f t="shared" si="5"/>
        <v>18</v>
      </c>
      <c r="C20" s="6" t="str">
        <f t="shared" si="1"/>
        <v>C0</v>
      </c>
      <c r="D20" s="11" t="str">
        <f t="shared" si="2"/>
        <v>12/C0;</v>
      </c>
      <c r="E20" s="7" t="s">
        <v>19</v>
      </c>
      <c r="F20" s="8">
        <v>0</v>
      </c>
      <c r="G20" s="4" t="s">
        <v>28</v>
      </c>
      <c r="H20" s="4"/>
      <c r="O20" s="4">
        <f t="shared" si="3"/>
        <v>192</v>
      </c>
    </row>
    <row r="21" spans="1:15" x14ac:dyDescent="0.2">
      <c r="A21" s="6" t="str">
        <f t="shared" si="0"/>
        <v>13</v>
      </c>
      <c r="B21" s="6">
        <f t="shared" si="5"/>
        <v>19</v>
      </c>
      <c r="C21" s="6" t="str">
        <f t="shared" si="1"/>
        <v>B9</v>
      </c>
      <c r="D21" s="11" t="str">
        <f t="shared" si="2"/>
        <v>13/B9;</v>
      </c>
      <c r="E21" s="9" t="s">
        <v>18</v>
      </c>
      <c r="F21" s="8">
        <v>25</v>
      </c>
      <c r="G21" s="4" t="s">
        <v>31</v>
      </c>
      <c r="H21" s="4"/>
      <c r="O21" s="4">
        <f t="shared" si="3"/>
        <v>160</v>
      </c>
    </row>
    <row r="22" spans="1:15" x14ac:dyDescent="0.2">
      <c r="A22" s="6" t="str">
        <f t="shared" si="0"/>
        <v>14</v>
      </c>
      <c r="B22" s="6">
        <f>B21+1</f>
        <v>20</v>
      </c>
      <c r="C22" s="6" t="str">
        <f t="shared" si="1"/>
        <v>F7</v>
      </c>
      <c r="D22" s="11" t="str">
        <f t="shared" si="2"/>
        <v>14/F7;</v>
      </c>
      <c r="E22" s="7" t="s">
        <v>22</v>
      </c>
      <c r="F22" s="8">
        <v>23</v>
      </c>
      <c r="G22" s="4" t="s">
        <v>32</v>
      </c>
      <c r="H22" s="4"/>
      <c r="O22" s="4">
        <f t="shared" si="3"/>
        <v>224</v>
      </c>
    </row>
    <row r="23" spans="1:15" x14ac:dyDescent="0.2">
      <c r="A23" s="6" t="str">
        <f t="shared" si="0"/>
        <v>15</v>
      </c>
      <c r="B23" s="6">
        <f t="shared" si="5"/>
        <v>21</v>
      </c>
      <c r="C23" s="6" t="str">
        <f t="shared" si="1"/>
        <v>99</v>
      </c>
      <c r="D23" s="11" t="str">
        <f t="shared" si="2"/>
        <v>15/99;</v>
      </c>
      <c r="E23" s="7" t="s">
        <v>16</v>
      </c>
      <c r="F23" s="8">
        <v>25</v>
      </c>
      <c r="G23" s="4" t="s">
        <v>33</v>
      </c>
      <c r="H23" s="4"/>
      <c r="O23" s="4">
        <f t="shared" si="3"/>
        <v>128</v>
      </c>
    </row>
    <row r="24" spans="1:15" x14ac:dyDescent="0.2">
      <c r="A24" s="6" t="str">
        <f t="shared" si="0"/>
        <v>16</v>
      </c>
      <c r="B24" s="6">
        <f t="shared" si="5"/>
        <v>22</v>
      </c>
      <c r="C24" s="6" t="str">
        <f t="shared" si="1"/>
        <v>E7</v>
      </c>
      <c r="D24" s="11" t="str">
        <f t="shared" si="2"/>
        <v>16/E7;</v>
      </c>
      <c r="E24" s="7" t="s">
        <v>22</v>
      </c>
      <c r="F24" s="8">
        <v>7</v>
      </c>
      <c r="G24" s="4" t="s">
        <v>34</v>
      </c>
      <c r="H24" s="4"/>
      <c r="O24" s="4">
        <f t="shared" si="3"/>
        <v>224</v>
      </c>
    </row>
    <row r="25" spans="1:15" x14ac:dyDescent="0.2">
      <c r="A25" s="6" t="str">
        <f t="shared" si="0"/>
        <v>17</v>
      </c>
      <c r="B25" s="6">
        <f t="shared" si="5"/>
        <v>23</v>
      </c>
      <c r="C25" s="6" t="str">
        <f t="shared" si="1"/>
        <v>D7</v>
      </c>
      <c r="D25" s="11" t="str">
        <f t="shared" si="2"/>
        <v>17/D7;</v>
      </c>
      <c r="E25" s="7" t="s">
        <v>19</v>
      </c>
      <c r="F25" s="8">
        <v>23</v>
      </c>
      <c r="G25" s="4" t="s">
        <v>35</v>
      </c>
      <c r="H25" s="4"/>
      <c r="O25" s="4">
        <f t="shared" si="3"/>
        <v>192</v>
      </c>
    </row>
    <row r="26" spans="1:15" x14ac:dyDescent="0.2">
      <c r="A26" s="6" t="str">
        <f t="shared" si="0"/>
        <v>18</v>
      </c>
      <c r="B26" s="6">
        <f t="shared" si="5"/>
        <v>24</v>
      </c>
      <c r="C26" s="6" t="str">
        <f t="shared" si="1"/>
        <v>06</v>
      </c>
      <c r="D26" s="11" t="str">
        <f t="shared" si="2"/>
        <v>18/06;</v>
      </c>
      <c r="E26" s="10" t="s">
        <v>36</v>
      </c>
      <c r="F26" s="8">
        <v>6</v>
      </c>
      <c r="G26" s="4" t="s">
        <v>37</v>
      </c>
      <c r="H26" s="4"/>
      <c r="O26" s="4"/>
    </row>
    <row r="27" spans="1:15" x14ac:dyDescent="0.2">
      <c r="A27" s="6" t="str">
        <f t="shared" si="0"/>
        <v>19</v>
      </c>
      <c r="B27" s="6">
        <f t="shared" si="5"/>
        <v>25</v>
      </c>
      <c r="C27" s="6" t="str">
        <f t="shared" si="1"/>
        <v>06</v>
      </c>
      <c r="D27" s="11" t="str">
        <f t="shared" si="2"/>
        <v>19/06;</v>
      </c>
      <c r="E27" s="10" t="s">
        <v>36</v>
      </c>
      <c r="F27" s="8">
        <v>6</v>
      </c>
      <c r="G27" s="4" t="s">
        <v>38</v>
      </c>
      <c r="H27" s="4"/>
      <c r="O27" s="4"/>
    </row>
    <row r="28" spans="1:15" x14ac:dyDescent="0.2">
      <c r="A28" s="6" t="str">
        <f t="shared" si="0"/>
        <v>1A</v>
      </c>
      <c r="B28" s="6">
        <f t="shared" si="5"/>
        <v>26</v>
      </c>
      <c r="C28" s="6" t="str">
        <f t="shared" si="1"/>
        <v>00</v>
      </c>
      <c r="D28" s="11" t="str">
        <f t="shared" si="2"/>
        <v>1A/00;</v>
      </c>
      <c r="E28" s="10" t="s">
        <v>36</v>
      </c>
      <c r="F28" s="8">
        <v>0</v>
      </c>
      <c r="G28" s="3" t="s">
        <v>39</v>
      </c>
      <c r="H28" s="4"/>
      <c r="O28" s="4"/>
    </row>
    <row r="29" spans="1:15" x14ac:dyDescent="0.2">
      <c r="A29" s="6" t="str">
        <f t="shared" si="0"/>
        <v>1B</v>
      </c>
      <c r="B29" s="6">
        <f>B28+1</f>
        <v>27</v>
      </c>
      <c r="C29" s="6" t="str">
        <f t="shared" si="1"/>
        <v>00</v>
      </c>
      <c r="D29" s="11" t="str">
        <f t="shared" si="2"/>
        <v>1B/00;</v>
      </c>
      <c r="E29" s="10" t="s">
        <v>36</v>
      </c>
      <c r="F29" s="8">
        <v>0</v>
      </c>
      <c r="G29" s="4"/>
      <c r="H29" s="4"/>
      <c r="O29" s="4"/>
    </row>
    <row r="30" spans="1:15" x14ac:dyDescent="0.2">
      <c r="A30" s="6" t="str">
        <f t="shared" si="0"/>
        <v>1C</v>
      </c>
      <c r="B30" s="6">
        <f t="shared" si="5"/>
        <v>28</v>
      </c>
      <c r="C30" s="6" t="str">
        <f t="shared" si="1"/>
        <v>00</v>
      </c>
      <c r="D30" s="11" t="str">
        <f t="shared" si="2"/>
        <v>1C/00;</v>
      </c>
      <c r="E30" s="10" t="s">
        <v>36</v>
      </c>
      <c r="F30" s="8">
        <v>0</v>
      </c>
      <c r="G30" s="4"/>
      <c r="H30" s="4"/>
      <c r="O30" s="4"/>
    </row>
    <row r="31" spans="1:15" x14ac:dyDescent="0.2">
      <c r="A31" s="6" t="str">
        <f t="shared" si="0"/>
        <v>1D</v>
      </c>
      <c r="B31" s="6">
        <f t="shared" si="5"/>
        <v>29</v>
      </c>
      <c r="C31" s="6" t="str">
        <f t="shared" si="1"/>
        <v>00</v>
      </c>
      <c r="D31" s="11" t="str">
        <f t="shared" si="2"/>
        <v>1D/00;</v>
      </c>
      <c r="E31" s="10" t="s">
        <v>36</v>
      </c>
      <c r="F31" s="8">
        <v>0</v>
      </c>
      <c r="G31" s="4"/>
      <c r="H31" s="4"/>
      <c r="O31" s="4"/>
    </row>
    <row r="32" spans="1:15" x14ac:dyDescent="0.2">
      <c r="A32" s="6" t="str">
        <f t="shared" si="0"/>
        <v>1E</v>
      </c>
      <c r="B32" s="6">
        <f t="shared" si="5"/>
        <v>30</v>
      </c>
      <c r="C32" s="6" t="str">
        <f t="shared" si="1"/>
        <v>00</v>
      </c>
      <c r="D32" s="11" t="str">
        <f t="shared" si="2"/>
        <v>1E/00;</v>
      </c>
      <c r="E32" s="10" t="s">
        <v>36</v>
      </c>
      <c r="F32" s="8">
        <v>0</v>
      </c>
      <c r="G32" s="4"/>
      <c r="H32" s="4"/>
      <c r="O32" s="4"/>
    </row>
    <row r="33" spans="1:15" x14ac:dyDescent="0.2">
      <c r="A33" s="6" t="str">
        <f t="shared" si="0"/>
        <v>1F</v>
      </c>
      <c r="B33" s="6">
        <f>B32+1</f>
        <v>31</v>
      </c>
      <c r="C33" s="6" t="str">
        <f t="shared" si="1"/>
        <v>00</v>
      </c>
      <c r="D33" s="11" t="str">
        <f t="shared" si="2"/>
        <v>1F/00;</v>
      </c>
      <c r="E33" s="10" t="s">
        <v>36</v>
      </c>
      <c r="F33" s="8">
        <v>0</v>
      </c>
      <c r="G33" s="4"/>
      <c r="H33" s="4"/>
      <c r="O33" s="4"/>
    </row>
  </sheetData>
  <pageMargins left="0.7" right="0.7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05CB-3477-B34B-9033-64BBF76A056C}">
  <sheetPr>
    <pageSetUpPr fitToPage="1"/>
  </sheetPr>
  <dimension ref="A1:R33"/>
  <sheetViews>
    <sheetView tabSelected="1" zoomScale="125" zoomScaleNormal="125" workbookViewId="0"/>
  </sheetViews>
  <sheetFormatPr baseColWidth="10" defaultRowHeight="16" x14ac:dyDescent="0.2"/>
  <cols>
    <col min="1" max="1" width="14.1640625" customWidth="1"/>
    <col min="2" max="2" width="14.6640625" customWidth="1"/>
    <col min="3" max="3" width="5.1640625" customWidth="1"/>
    <col min="4" max="4" width="11.33203125" customWidth="1"/>
    <col min="5" max="5" width="9.6640625" customWidth="1"/>
    <col min="6" max="6" width="9.5" customWidth="1"/>
    <col min="18" max="18" width="12.5" customWidth="1"/>
  </cols>
  <sheetData>
    <row r="1" spans="1:18" ht="31" customHeight="1" x14ac:dyDescent="0.2">
      <c r="A1" s="1" t="s">
        <v>1</v>
      </c>
      <c r="B1" s="1" t="s">
        <v>2</v>
      </c>
      <c r="C1" s="2" t="s">
        <v>3</v>
      </c>
      <c r="D1" s="2" t="s">
        <v>40</v>
      </c>
      <c r="E1" s="3" t="s">
        <v>0</v>
      </c>
      <c r="F1" s="1" t="s">
        <v>4</v>
      </c>
      <c r="G1" s="3" t="s">
        <v>5</v>
      </c>
      <c r="H1" s="4"/>
      <c r="O1" s="5" t="s">
        <v>6</v>
      </c>
    </row>
    <row r="2" spans="1:18" x14ac:dyDescent="0.2">
      <c r="A2" s="6" t="str">
        <f t="shared" ref="A2:A33" si="0">DEC2HEX(B2,2)</f>
        <v>00</v>
      </c>
      <c r="B2" s="6">
        <v>0</v>
      </c>
      <c r="C2" s="6" t="str">
        <f>DEC2HEX(O2+F2,2)</f>
        <v>FF</v>
      </c>
      <c r="D2" s="11" t="str">
        <f>_xlfn.CONCAT(A2,"/",C2,";")</f>
        <v>00/FF;</v>
      </c>
      <c r="E2" s="7"/>
      <c r="F2" s="8">
        <v>0</v>
      </c>
      <c r="G2" s="4"/>
      <c r="H2" s="4"/>
      <c r="O2" s="4">
        <f>IF(E2=$P$2,$Q$2,IF(E2=$P$3,$Q$3,IF(E2=$P$4,$Q$4,IF(E2=$P$5,$Q$5,IF(E2=$P$6,$Q$6,IF(E2=$P$7,$Q$7,IF(E2=$P$8,$Q$8,IF(E2=$P$9,$Q$9,255))))))))</f>
        <v>255</v>
      </c>
      <c r="P2" t="s">
        <v>7</v>
      </c>
      <c r="Q2">
        <v>0</v>
      </c>
      <c r="R2" t="str">
        <f>DEC2BIN(Q2,8)</f>
        <v>00000000</v>
      </c>
    </row>
    <row r="3" spans="1:18" x14ac:dyDescent="0.2">
      <c r="A3" s="6" t="str">
        <f t="shared" si="0"/>
        <v>01</v>
      </c>
      <c r="B3" s="6">
        <f>B2+1</f>
        <v>1</v>
      </c>
      <c r="C3" s="6" t="str">
        <f t="shared" ref="C3:C33" si="1">DEC2HEX(O3+F3,2)</f>
        <v>FF</v>
      </c>
      <c r="D3" s="11" t="str">
        <f t="shared" ref="D3:D33" si="2">_xlfn.CONCAT(A3,"/",C3,";")</f>
        <v>01/FF;</v>
      </c>
      <c r="E3" s="7"/>
      <c r="F3" s="8">
        <v>0</v>
      </c>
      <c r="G3" s="4"/>
      <c r="H3" s="4"/>
      <c r="O3" s="4">
        <f t="shared" ref="O3:O33" si="3">IF(E3=$P$2,$Q$2,IF(E3=$P$3,$Q$3,IF(E3=$P$4,$Q$4,IF(E3=$P$5,$Q$5,IF(E3=$P$6,$Q$6,IF(E3=$P$7,$Q$7,IF(E3=$P$8,$Q$8,IF(E3=$P$9,$Q$9,255))))))))</f>
        <v>255</v>
      </c>
      <c r="P3" t="s">
        <v>11</v>
      </c>
      <c r="Q3">
        <v>32</v>
      </c>
      <c r="R3" t="str">
        <f t="shared" ref="R3:R9" si="4">DEC2BIN(Q3,8)</f>
        <v>00100000</v>
      </c>
    </row>
    <row r="4" spans="1:18" x14ac:dyDescent="0.2">
      <c r="A4" s="6" t="str">
        <f t="shared" si="0"/>
        <v>02</v>
      </c>
      <c r="B4" s="6">
        <f t="shared" ref="B4:B32" si="5">B3+1</f>
        <v>2</v>
      </c>
      <c r="C4" s="6" t="str">
        <f t="shared" si="1"/>
        <v>FF</v>
      </c>
      <c r="D4" s="11" t="str">
        <f t="shared" si="2"/>
        <v>02/FF;</v>
      </c>
      <c r="E4" s="7"/>
      <c r="F4" s="8">
        <v>0</v>
      </c>
      <c r="G4" s="4"/>
      <c r="H4" s="4"/>
      <c r="O4" s="4">
        <f t="shared" si="3"/>
        <v>255</v>
      </c>
      <c r="P4" t="s">
        <v>9</v>
      </c>
      <c r="Q4">
        <f>Q3*2</f>
        <v>64</v>
      </c>
      <c r="R4" t="str">
        <f t="shared" si="4"/>
        <v>01000000</v>
      </c>
    </row>
    <row r="5" spans="1:18" x14ac:dyDescent="0.2">
      <c r="A5" s="6" t="str">
        <f t="shared" si="0"/>
        <v>03</v>
      </c>
      <c r="B5" s="6">
        <f t="shared" si="5"/>
        <v>3</v>
      </c>
      <c r="C5" s="6" t="str">
        <f t="shared" si="1"/>
        <v>FF</v>
      </c>
      <c r="D5" s="11" t="str">
        <f t="shared" si="2"/>
        <v>03/FF;</v>
      </c>
      <c r="E5" s="7"/>
      <c r="F5" s="8">
        <v>0</v>
      </c>
      <c r="G5" s="4"/>
      <c r="H5" s="4"/>
      <c r="O5" s="4">
        <f t="shared" si="3"/>
        <v>255</v>
      </c>
      <c r="P5" t="s">
        <v>14</v>
      </c>
      <c r="Q5">
        <f>Q3+Q4</f>
        <v>96</v>
      </c>
      <c r="R5" t="str">
        <f t="shared" si="4"/>
        <v>01100000</v>
      </c>
    </row>
    <row r="6" spans="1:18" x14ac:dyDescent="0.2">
      <c r="A6" s="6" t="str">
        <f t="shared" si="0"/>
        <v>04</v>
      </c>
      <c r="B6" s="6">
        <f t="shared" si="5"/>
        <v>4</v>
      </c>
      <c r="C6" s="6" t="str">
        <f t="shared" si="1"/>
        <v>FF</v>
      </c>
      <c r="D6" s="11" t="str">
        <f t="shared" si="2"/>
        <v>04/FF;</v>
      </c>
      <c r="E6" s="7"/>
      <c r="F6" s="8">
        <v>0</v>
      </c>
      <c r="G6" s="4"/>
      <c r="H6" s="4"/>
      <c r="O6" s="4">
        <f t="shared" si="3"/>
        <v>255</v>
      </c>
      <c r="P6" t="s">
        <v>16</v>
      </c>
      <c r="Q6">
        <f>Q4*2</f>
        <v>128</v>
      </c>
      <c r="R6" t="str">
        <f t="shared" si="4"/>
        <v>10000000</v>
      </c>
    </row>
    <row r="7" spans="1:18" x14ac:dyDescent="0.2">
      <c r="A7" s="6" t="str">
        <f t="shared" si="0"/>
        <v>05</v>
      </c>
      <c r="B7" s="6">
        <f t="shared" si="5"/>
        <v>5</v>
      </c>
      <c r="C7" s="6" t="str">
        <f t="shared" si="1"/>
        <v>FF</v>
      </c>
      <c r="D7" s="11" t="str">
        <f t="shared" si="2"/>
        <v>05/FF;</v>
      </c>
      <c r="E7" s="7"/>
      <c r="F7" s="8">
        <v>0</v>
      </c>
      <c r="G7" s="4"/>
      <c r="H7" s="4"/>
      <c r="O7" s="4">
        <f t="shared" si="3"/>
        <v>255</v>
      </c>
      <c r="P7" t="s">
        <v>18</v>
      </c>
      <c r="Q7">
        <f>Q6+Q3</f>
        <v>160</v>
      </c>
      <c r="R7" t="str">
        <f t="shared" si="4"/>
        <v>10100000</v>
      </c>
    </row>
    <row r="8" spans="1:18" x14ac:dyDescent="0.2">
      <c r="A8" s="6" t="str">
        <f t="shared" si="0"/>
        <v>06</v>
      </c>
      <c r="B8" s="6">
        <f t="shared" si="5"/>
        <v>6</v>
      </c>
      <c r="C8" s="6" t="str">
        <f t="shared" si="1"/>
        <v>FF</v>
      </c>
      <c r="D8" s="11" t="str">
        <f t="shared" si="2"/>
        <v>06/FF;</v>
      </c>
      <c r="E8" s="7"/>
      <c r="F8" s="8">
        <v>0</v>
      </c>
      <c r="G8" s="4"/>
      <c r="H8" s="4"/>
      <c r="O8" s="4">
        <f t="shared" si="3"/>
        <v>255</v>
      </c>
      <c r="P8" t="s">
        <v>19</v>
      </c>
      <c r="Q8">
        <f>Q6+Q4</f>
        <v>192</v>
      </c>
      <c r="R8" t="str">
        <f t="shared" si="4"/>
        <v>11000000</v>
      </c>
    </row>
    <row r="9" spans="1:18" x14ac:dyDescent="0.2">
      <c r="A9" s="6" t="str">
        <f t="shared" si="0"/>
        <v>07</v>
      </c>
      <c r="B9" s="6">
        <f t="shared" si="5"/>
        <v>7</v>
      </c>
      <c r="C9" s="6" t="str">
        <f>DEC2HEX(O9+F9,2)</f>
        <v>FF</v>
      </c>
      <c r="D9" s="11" t="str">
        <f t="shared" si="2"/>
        <v>07/FF;</v>
      </c>
      <c r="E9" s="7"/>
      <c r="F9" s="8">
        <v>0</v>
      </c>
      <c r="G9" s="4"/>
      <c r="H9" s="4"/>
      <c r="O9" s="4">
        <f t="shared" si="3"/>
        <v>255</v>
      </c>
      <c r="P9" t="s">
        <v>22</v>
      </c>
      <c r="Q9">
        <f>Q6+Q4+Q3</f>
        <v>224</v>
      </c>
      <c r="R9" t="str">
        <f t="shared" si="4"/>
        <v>11100000</v>
      </c>
    </row>
    <row r="10" spans="1:18" x14ac:dyDescent="0.2">
      <c r="A10" s="6" t="str">
        <f t="shared" si="0"/>
        <v>08</v>
      </c>
      <c r="B10" s="6">
        <f t="shared" si="5"/>
        <v>8</v>
      </c>
      <c r="C10" s="6" t="str">
        <f>DEC2HEX(O10+F10,2)</f>
        <v>FF</v>
      </c>
      <c r="D10" s="11" t="str">
        <f t="shared" si="2"/>
        <v>08/FF;</v>
      </c>
      <c r="E10" s="7"/>
      <c r="F10" s="8">
        <v>0</v>
      </c>
      <c r="G10" s="4"/>
      <c r="H10" s="4"/>
      <c r="O10" s="4">
        <f t="shared" si="3"/>
        <v>255</v>
      </c>
    </row>
    <row r="11" spans="1:18" x14ac:dyDescent="0.2">
      <c r="A11" s="12" t="str">
        <f t="shared" si="0"/>
        <v>09</v>
      </c>
      <c r="B11" s="12">
        <f t="shared" si="5"/>
        <v>9</v>
      </c>
      <c r="C11" s="12" t="str">
        <f>DEC2HEX(O11+F11,2)</f>
        <v>FF</v>
      </c>
      <c r="D11" s="13" t="str">
        <f t="shared" si="2"/>
        <v>09/FF;</v>
      </c>
      <c r="E11" s="7"/>
      <c r="F11" s="14">
        <v>0</v>
      </c>
      <c r="G11" s="15"/>
      <c r="H11" s="16"/>
      <c r="I11" s="17"/>
      <c r="O11" s="4">
        <f t="shared" si="3"/>
        <v>255</v>
      </c>
    </row>
    <row r="12" spans="1:18" x14ac:dyDescent="0.2">
      <c r="A12" s="12" t="str">
        <f t="shared" si="0"/>
        <v>0A</v>
      </c>
      <c r="B12" s="12">
        <f t="shared" si="5"/>
        <v>10</v>
      </c>
      <c r="C12" s="12" t="str">
        <f>DEC2HEX(O12+F12,2)</f>
        <v>FF</v>
      </c>
      <c r="D12" s="13" t="str">
        <f t="shared" si="2"/>
        <v>0A/FF;</v>
      </c>
      <c r="E12" s="7"/>
      <c r="F12" s="14">
        <v>0</v>
      </c>
      <c r="G12" s="16"/>
      <c r="H12" s="16"/>
      <c r="I12" s="17"/>
      <c r="O12" s="4">
        <f t="shared" si="3"/>
        <v>255</v>
      </c>
    </row>
    <row r="13" spans="1:18" x14ac:dyDescent="0.2">
      <c r="A13" s="12" t="str">
        <f t="shared" si="0"/>
        <v>0B</v>
      </c>
      <c r="B13" s="12">
        <f t="shared" si="5"/>
        <v>11</v>
      </c>
      <c r="C13" s="12" t="str">
        <f>DEC2HEX(O13+F13,2)</f>
        <v>FF</v>
      </c>
      <c r="D13" s="13" t="str">
        <f t="shared" si="2"/>
        <v>0B/FF;</v>
      </c>
      <c r="E13" s="7"/>
      <c r="F13" s="14">
        <v>0</v>
      </c>
      <c r="G13" s="16"/>
      <c r="H13" s="16"/>
      <c r="I13" s="17"/>
      <c r="O13" s="4">
        <f t="shared" si="3"/>
        <v>255</v>
      </c>
    </row>
    <row r="14" spans="1:18" x14ac:dyDescent="0.2">
      <c r="A14" s="12" t="str">
        <f t="shared" si="0"/>
        <v>0C</v>
      </c>
      <c r="B14" s="12">
        <f t="shared" si="5"/>
        <v>12</v>
      </c>
      <c r="C14" s="12" t="str">
        <f t="shared" si="1"/>
        <v>FF</v>
      </c>
      <c r="D14" s="13" t="str">
        <f t="shared" si="2"/>
        <v>0C/FF;</v>
      </c>
      <c r="E14" s="7"/>
      <c r="F14" s="14">
        <v>0</v>
      </c>
      <c r="G14" s="16"/>
      <c r="H14" s="16"/>
      <c r="I14" s="17"/>
      <c r="O14" s="4">
        <f t="shared" si="3"/>
        <v>255</v>
      </c>
    </row>
    <row r="15" spans="1:18" x14ac:dyDescent="0.2">
      <c r="A15" s="12" t="str">
        <f t="shared" si="0"/>
        <v>0D</v>
      </c>
      <c r="B15" s="12">
        <f t="shared" si="5"/>
        <v>13</v>
      </c>
      <c r="C15" s="12" t="str">
        <f t="shared" si="1"/>
        <v>FF</v>
      </c>
      <c r="D15" s="13" t="str">
        <f t="shared" si="2"/>
        <v>0D/FF;</v>
      </c>
      <c r="E15" s="7"/>
      <c r="F15" s="14">
        <v>0</v>
      </c>
      <c r="G15" s="16"/>
      <c r="H15" s="16"/>
      <c r="I15" s="17"/>
      <c r="O15" s="4">
        <f t="shared" si="3"/>
        <v>255</v>
      </c>
    </row>
    <row r="16" spans="1:18" x14ac:dyDescent="0.2">
      <c r="A16" s="12" t="str">
        <f t="shared" si="0"/>
        <v>0E</v>
      </c>
      <c r="B16" s="12">
        <f t="shared" si="5"/>
        <v>14</v>
      </c>
      <c r="C16" s="12" t="str">
        <f t="shared" si="1"/>
        <v>FF</v>
      </c>
      <c r="D16" s="13" t="str">
        <f t="shared" si="2"/>
        <v>0E/FF;</v>
      </c>
      <c r="E16" s="7"/>
      <c r="F16" s="14">
        <v>0</v>
      </c>
      <c r="G16" s="16"/>
      <c r="H16" s="16"/>
      <c r="I16" s="17"/>
      <c r="O16" s="4">
        <f t="shared" si="3"/>
        <v>255</v>
      </c>
    </row>
    <row r="17" spans="1:15" x14ac:dyDescent="0.2">
      <c r="A17" s="12" t="str">
        <f t="shared" si="0"/>
        <v>0F</v>
      </c>
      <c r="B17" s="12">
        <f t="shared" si="5"/>
        <v>15</v>
      </c>
      <c r="C17" s="12" t="str">
        <f t="shared" si="1"/>
        <v>FF</v>
      </c>
      <c r="D17" s="13" t="str">
        <f t="shared" si="2"/>
        <v>0F/FF;</v>
      </c>
      <c r="E17" s="7"/>
      <c r="F17" s="14">
        <v>0</v>
      </c>
      <c r="G17" s="17"/>
      <c r="H17" s="16"/>
      <c r="I17" s="17"/>
      <c r="O17" s="4">
        <f t="shared" si="3"/>
        <v>255</v>
      </c>
    </row>
    <row r="18" spans="1:15" x14ac:dyDescent="0.2">
      <c r="A18" s="12" t="str">
        <f t="shared" si="0"/>
        <v>10</v>
      </c>
      <c r="B18" s="12">
        <f t="shared" si="5"/>
        <v>16</v>
      </c>
      <c r="C18" s="12" t="str">
        <f t="shared" si="1"/>
        <v>FF</v>
      </c>
      <c r="D18" s="13" t="str">
        <f t="shared" si="2"/>
        <v>10/FF;</v>
      </c>
      <c r="E18" s="7"/>
      <c r="F18" s="14">
        <v>0</v>
      </c>
      <c r="G18" s="15"/>
      <c r="H18" s="16"/>
      <c r="I18" s="17"/>
      <c r="O18" s="4">
        <f t="shared" si="3"/>
        <v>255</v>
      </c>
    </row>
    <row r="19" spans="1:15" x14ac:dyDescent="0.2">
      <c r="A19" s="12" t="str">
        <f t="shared" si="0"/>
        <v>11</v>
      </c>
      <c r="B19" s="12">
        <f t="shared" si="5"/>
        <v>17</v>
      </c>
      <c r="C19" s="12" t="str">
        <f t="shared" si="1"/>
        <v>FF</v>
      </c>
      <c r="D19" s="13" t="str">
        <f t="shared" si="2"/>
        <v>11/FF;</v>
      </c>
      <c r="E19" s="7"/>
      <c r="F19" s="14">
        <v>0</v>
      </c>
      <c r="G19" s="16"/>
      <c r="H19" s="16"/>
      <c r="I19" s="17"/>
      <c r="O19" s="4">
        <f t="shared" si="3"/>
        <v>255</v>
      </c>
    </row>
    <row r="20" spans="1:15" x14ac:dyDescent="0.2">
      <c r="A20" s="12" t="str">
        <f t="shared" si="0"/>
        <v>12</v>
      </c>
      <c r="B20" s="12">
        <f t="shared" si="5"/>
        <v>18</v>
      </c>
      <c r="C20" s="12" t="str">
        <f t="shared" si="1"/>
        <v>FF</v>
      </c>
      <c r="D20" s="13" t="str">
        <f t="shared" si="2"/>
        <v>12/FF;</v>
      </c>
      <c r="E20" s="7"/>
      <c r="F20" s="14">
        <v>0</v>
      </c>
      <c r="G20" s="16"/>
      <c r="H20" s="16"/>
      <c r="I20" s="17"/>
      <c r="O20" s="4">
        <f t="shared" si="3"/>
        <v>255</v>
      </c>
    </row>
    <row r="21" spans="1:15" x14ac:dyDescent="0.2">
      <c r="A21" s="12" t="str">
        <f t="shared" si="0"/>
        <v>13</v>
      </c>
      <c r="B21" s="12">
        <f t="shared" si="5"/>
        <v>19</v>
      </c>
      <c r="C21" s="12" t="str">
        <f>DEC2HEX(O21+F21,2)</f>
        <v>FF</v>
      </c>
      <c r="D21" s="13" t="str">
        <f t="shared" si="2"/>
        <v>13/FF;</v>
      </c>
      <c r="E21" s="7"/>
      <c r="F21" s="14">
        <v>0</v>
      </c>
      <c r="G21" s="16"/>
      <c r="H21" s="16"/>
      <c r="I21" s="17"/>
      <c r="O21" s="4">
        <f t="shared" si="3"/>
        <v>255</v>
      </c>
    </row>
    <row r="22" spans="1:15" x14ac:dyDescent="0.2">
      <c r="A22" s="12" t="str">
        <f t="shared" si="0"/>
        <v>14</v>
      </c>
      <c r="B22" s="12">
        <f>B21+1</f>
        <v>20</v>
      </c>
      <c r="C22" s="12" t="str">
        <f>DEC2HEX(O22+F22,2)</f>
        <v>FF</v>
      </c>
      <c r="D22" s="13" t="str">
        <f t="shared" si="2"/>
        <v>14/FF;</v>
      </c>
      <c r="E22" s="7"/>
      <c r="F22" s="14">
        <v>0</v>
      </c>
      <c r="G22" s="17"/>
      <c r="H22" s="16"/>
      <c r="I22" s="17"/>
      <c r="O22" s="4">
        <f t="shared" si="3"/>
        <v>255</v>
      </c>
    </row>
    <row r="23" spans="1:15" x14ac:dyDescent="0.2">
      <c r="A23" s="12" t="str">
        <f t="shared" si="0"/>
        <v>15</v>
      </c>
      <c r="B23" s="12">
        <f t="shared" si="5"/>
        <v>21</v>
      </c>
      <c r="C23" s="12" t="str">
        <f>DEC2HEX(O23+F23,2)</f>
        <v>FF</v>
      </c>
      <c r="D23" s="13" t="str">
        <f t="shared" si="2"/>
        <v>15/FF;</v>
      </c>
      <c r="E23" s="7"/>
      <c r="F23" s="14">
        <v>0</v>
      </c>
      <c r="G23" s="15"/>
      <c r="H23" s="16"/>
      <c r="I23" s="17"/>
      <c r="O23" s="4">
        <f t="shared" si="3"/>
        <v>255</v>
      </c>
    </row>
    <row r="24" spans="1:15" x14ac:dyDescent="0.2">
      <c r="A24" s="12" t="str">
        <f t="shared" si="0"/>
        <v>16</v>
      </c>
      <c r="B24" s="12">
        <f t="shared" si="5"/>
        <v>22</v>
      </c>
      <c r="C24" s="12" t="str">
        <f>DEC2HEX(O24+F24,2)</f>
        <v>FF</v>
      </c>
      <c r="D24" s="13" t="str">
        <f t="shared" si="2"/>
        <v>16/FF;</v>
      </c>
      <c r="E24" s="7"/>
      <c r="F24" s="14">
        <v>0</v>
      </c>
      <c r="G24" s="16"/>
      <c r="H24" s="16"/>
      <c r="I24" s="17"/>
      <c r="O24" s="4">
        <f t="shared" si="3"/>
        <v>255</v>
      </c>
    </row>
    <row r="25" spans="1:15" x14ac:dyDescent="0.2">
      <c r="A25" s="12" t="str">
        <f t="shared" si="0"/>
        <v>17</v>
      </c>
      <c r="B25" s="12">
        <f t="shared" si="5"/>
        <v>23</v>
      </c>
      <c r="C25" s="12" t="str">
        <f>DEC2HEX(O25+F25,2)</f>
        <v>FF</v>
      </c>
      <c r="D25" s="13" t="str">
        <f t="shared" si="2"/>
        <v>17/FF;</v>
      </c>
      <c r="E25" s="7"/>
      <c r="F25" s="14">
        <v>0</v>
      </c>
      <c r="G25" s="16"/>
      <c r="H25" s="16"/>
      <c r="I25" s="17"/>
      <c r="O25" s="4">
        <f t="shared" si="3"/>
        <v>255</v>
      </c>
    </row>
    <row r="26" spans="1:15" x14ac:dyDescent="0.2">
      <c r="A26" s="12" t="str">
        <f t="shared" si="0"/>
        <v>18</v>
      </c>
      <c r="B26" s="12">
        <f t="shared" si="5"/>
        <v>24</v>
      </c>
      <c r="C26" s="12" t="str">
        <f t="shared" si="1"/>
        <v>FF</v>
      </c>
      <c r="D26" s="13" t="str">
        <f t="shared" si="2"/>
        <v>18/FF;</v>
      </c>
      <c r="E26" s="7"/>
      <c r="F26" s="14">
        <v>0</v>
      </c>
      <c r="G26" s="16"/>
      <c r="H26" s="16"/>
      <c r="I26" s="17"/>
      <c r="O26" s="4">
        <f t="shared" si="3"/>
        <v>255</v>
      </c>
    </row>
    <row r="27" spans="1:15" x14ac:dyDescent="0.2">
      <c r="A27" s="12" t="str">
        <f t="shared" si="0"/>
        <v>19</v>
      </c>
      <c r="B27" s="12">
        <f t="shared" si="5"/>
        <v>25</v>
      </c>
      <c r="C27" s="12" t="str">
        <f t="shared" si="1"/>
        <v>FF</v>
      </c>
      <c r="D27" s="13" t="str">
        <f t="shared" si="2"/>
        <v>19/FF;</v>
      </c>
      <c r="E27" s="7"/>
      <c r="F27" s="14">
        <v>0</v>
      </c>
      <c r="G27" s="15"/>
      <c r="H27" s="16"/>
      <c r="I27" s="17"/>
      <c r="O27" s="4">
        <f t="shared" si="3"/>
        <v>255</v>
      </c>
    </row>
    <row r="28" spans="1:15" x14ac:dyDescent="0.2">
      <c r="A28" s="12" t="str">
        <f t="shared" si="0"/>
        <v>1A</v>
      </c>
      <c r="B28" s="12">
        <f t="shared" si="5"/>
        <v>26</v>
      </c>
      <c r="C28" s="12" t="str">
        <f t="shared" si="1"/>
        <v>FF</v>
      </c>
      <c r="D28" s="13" t="str">
        <f t="shared" si="2"/>
        <v>1A/FF;</v>
      </c>
      <c r="E28" s="7"/>
      <c r="F28" s="14">
        <v>0</v>
      </c>
      <c r="G28" s="16"/>
      <c r="H28" s="16"/>
      <c r="I28" s="17"/>
      <c r="O28" s="4">
        <f t="shared" si="3"/>
        <v>255</v>
      </c>
    </row>
    <row r="29" spans="1:15" x14ac:dyDescent="0.2">
      <c r="A29" s="12" t="str">
        <f t="shared" si="0"/>
        <v>1B</v>
      </c>
      <c r="B29" s="12">
        <f>B28+1</f>
        <v>27</v>
      </c>
      <c r="C29" s="12" t="str">
        <f t="shared" si="1"/>
        <v>FF</v>
      </c>
      <c r="D29" s="13" t="str">
        <f t="shared" si="2"/>
        <v>1B/FF;</v>
      </c>
      <c r="E29" s="7"/>
      <c r="F29" s="14">
        <v>0</v>
      </c>
      <c r="G29" s="17"/>
      <c r="H29" s="16"/>
      <c r="I29" s="17"/>
      <c r="O29" s="4">
        <f t="shared" si="3"/>
        <v>255</v>
      </c>
    </row>
    <row r="30" spans="1:15" x14ac:dyDescent="0.2">
      <c r="A30" s="6" t="str">
        <f t="shared" si="0"/>
        <v>1C</v>
      </c>
      <c r="B30" s="6">
        <f t="shared" si="5"/>
        <v>28</v>
      </c>
      <c r="C30" s="6" t="str">
        <f t="shared" si="1"/>
        <v>FF</v>
      </c>
      <c r="D30" s="11" t="str">
        <f t="shared" si="2"/>
        <v>1C/FF;</v>
      </c>
      <c r="E30" s="7"/>
      <c r="F30" s="8">
        <v>0</v>
      </c>
      <c r="G30" s="3"/>
      <c r="H30" s="4"/>
      <c r="O30" s="4">
        <f t="shared" si="3"/>
        <v>255</v>
      </c>
    </row>
    <row r="31" spans="1:15" x14ac:dyDescent="0.2">
      <c r="A31" s="6" t="str">
        <f t="shared" si="0"/>
        <v>1D</v>
      </c>
      <c r="B31" s="6">
        <f t="shared" si="5"/>
        <v>29</v>
      </c>
      <c r="C31" s="6" t="str">
        <f t="shared" si="1"/>
        <v>FF</v>
      </c>
      <c r="D31" s="11" t="str">
        <f t="shared" si="2"/>
        <v>1D/FF;</v>
      </c>
      <c r="E31" s="7"/>
      <c r="F31" s="8">
        <v>0</v>
      </c>
      <c r="G31" s="3"/>
      <c r="H31" s="4"/>
      <c r="O31" s="4">
        <f t="shared" si="3"/>
        <v>255</v>
      </c>
    </row>
    <row r="32" spans="1:15" x14ac:dyDescent="0.2">
      <c r="A32" s="6" t="str">
        <f t="shared" si="0"/>
        <v>1E</v>
      </c>
      <c r="B32" s="6">
        <f t="shared" si="5"/>
        <v>30</v>
      </c>
      <c r="C32" s="6" t="str">
        <f t="shared" si="1"/>
        <v>FF</v>
      </c>
      <c r="D32" s="11" t="str">
        <f t="shared" si="2"/>
        <v>1E/FF;</v>
      </c>
      <c r="E32" s="7"/>
      <c r="F32" s="8">
        <v>0</v>
      </c>
      <c r="G32" s="3"/>
      <c r="H32" s="4"/>
      <c r="O32" s="4">
        <f t="shared" si="3"/>
        <v>255</v>
      </c>
    </row>
    <row r="33" spans="1:15" x14ac:dyDescent="0.2">
      <c r="A33" s="6" t="str">
        <f t="shared" si="0"/>
        <v>1F</v>
      </c>
      <c r="B33" s="6">
        <f>B32+1</f>
        <v>31</v>
      </c>
      <c r="C33" s="6" t="str">
        <f t="shared" si="1"/>
        <v>00</v>
      </c>
      <c r="D33" s="11" t="str">
        <f t="shared" si="2"/>
        <v>1F/00;</v>
      </c>
      <c r="E33" s="7" t="s">
        <v>36</v>
      </c>
      <c r="F33" s="8">
        <v>0</v>
      </c>
      <c r="G33" s="3"/>
      <c r="H33" s="4"/>
      <c r="O33" s="4"/>
    </row>
  </sheetData>
  <pageMargins left="0.7" right="0.7" top="0.75" bottom="0.75" header="0.3" footer="0.3"/>
  <pageSetup scale="62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Program</vt:lpstr>
      <vt:lpstr>Program LA7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DeLong</dc:creator>
  <cp:lastModifiedBy>DeLong, Todd A (tad2x)</cp:lastModifiedBy>
  <cp:lastPrinted>2020-12-29T12:30:05Z</cp:lastPrinted>
  <dcterms:created xsi:type="dcterms:W3CDTF">2020-12-16T11:56:10Z</dcterms:created>
  <dcterms:modified xsi:type="dcterms:W3CDTF">2023-10-30T13:01:55Z</dcterms:modified>
</cp:coreProperties>
</file>